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uno.SN-345361\Downloads\atividade na aula\"/>
    </mc:Choice>
  </mc:AlternateContent>
  <xr:revisionPtr revIDLastSave="0" documentId="8_{2820A3C2-C0E7-4731-B139-B86F9FD30E9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5" i="2" l="1"/>
  <c r="J24" i="2"/>
  <c r="J23" i="2"/>
  <c r="J22" i="2"/>
  <c r="J18" i="2"/>
  <c r="J17" i="2"/>
  <c r="J16" i="2"/>
  <c r="J15" i="2"/>
  <c r="J11" i="2"/>
  <c r="J9" i="2"/>
  <c r="J6" i="2"/>
  <c r="J5" i="2"/>
  <c r="J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4" i="2"/>
  <c r="C6" i="2"/>
  <c r="C7" i="2"/>
  <c r="C8" i="2"/>
  <c r="C9" i="2"/>
  <c r="C10" i="2"/>
  <c r="C11" i="2"/>
  <c r="C12" i="2"/>
  <c r="C13" i="2"/>
  <c r="C14" i="2"/>
  <c r="C15" i="2"/>
  <c r="C16" i="2"/>
  <c r="C17" i="2"/>
  <c r="C5" i="2"/>
  <c r="C4" i="2"/>
  <c r="D17" i="2"/>
  <c r="D15" i="2"/>
  <c r="D14" i="2"/>
  <c r="D13" i="2"/>
  <c r="D11" i="2"/>
  <c r="D8" i="2"/>
  <c r="D7" i="2"/>
  <c r="D6" i="2"/>
  <c r="D5" i="2"/>
  <c r="B17" i="2"/>
  <c r="B15" i="2"/>
  <c r="B14" i="2"/>
  <c r="B13" i="2"/>
  <c r="B12" i="2"/>
  <c r="B11" i="2"/>
  <c r="B8" i="2"/>
  <c r="B7" i="2"/>
  <c r="B6" i="2"/>
  <c r="B5" i="2"/>
  <c r="I25" i="2"/>
  <c r="I24" i="2"/>
  <c r="I18" i="2"/>
  <c r="I12" i="2"/>
  <c r="I11" i="2"/>
</calcChain>
</file>

<file path=xl/sharedStrings.xml><?xml version="1.0" encoding="utf-8"?>
<sst xmlns="http://schemas.openxmlformats.org/spreadsheetml/2006/main" count="45" uniqueCount="41">
  <si>
    <t>Receita de Vendas</t>
  </si>
  <si>
    <t>( - ) CPV</t>
  </si>
  <si>
    <t>Lucro Bruto</t>
  </si>
  <si>
    <t>( - ) Depreciação</t>
  </si>
  <si>
    <t>Lucro Operacional</t>
  </si>
  <si>
    <t>( - ) Desp. Financeiras</t>
  </si>
  <si>
    <t>LAIR</t>
  </si>
  <si>
    <t>( - ) IR</t>
  </si>
  <si>
    <t>Lucro Após IR</t>
  </si>
  <si>
    <t>( - ) Dividendos Distrib.</t>
  </si>
  <si>
    <t>Lucro Líquido</t>
  </si>
  <si>
    <t>DRE</t>
  </si>
  <si>
    <t>Demonstrativo de Resultados do Exercício (DRE)</t>
  </si>
  <si>
    <t>Balanço Patrimonial (BP)</t>
  </si>
  <si>
    <t>ATIVO</t>
  </si>
  <si>
    <t>Caixa</t>
  </si>
  <si>
    <t>Bancos</t>
  </si>
  <si>
    <t>Contas a Receber</t>
  </si>
  <si>
    <t>Estoque</t>
  </si>
  <si>
    <t>Total AC</t>
  </si>
  <si>
    <t>Ativo Permanente</t>
  </si>
  <si>
    <t>( - ) Deprec. Acum.</t>
  </si>
  <si>
    <t>Ativo Perm. Líquido</t>
  </si>
  <si>
    <t>TOTAL ATIVO</t>
  </si>
  <si>
    <t>PASSIVO</t>
  </si>
  <si>
    <t>Contas a Pagar</t>
  </si>
  <si>
    <t>Financ. Curto Prazo</t>
  </si>
  <si>
    <t>Total PC</t>
  </si>
  <si>
    <t>Financiamentos</t>
  </si>
  <si>
    <t>Exigível Longo Prazo (ELP)</t>
  </si>
  <si>
    <t>Patrimônio Líquido (PL)</t>
  </si>
  <si>
    <t>Capital Social</t>
  </si>
  <si>
    <t>Lucros Acumulados</t>
  </si>
  <si>
    <t>Total PL</t>
  </si>
  <si>
    <t>( - ) Desp. Administrativas</t>
  </si>
  <si>
    <t>( - ) Desp. com Vendas</t>
  </si>
  <si>
    <t>( - ) Outras Desp. Operac.</t>
  </si>
  <si>
    <t>AV</t>
  </si>
  <si>
    <t>Títulos a Pagar</t>
  </si>
  <si>
    <t>AH</t>
  </si>
  <si>
    <t>TOTAL PASSIVO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</si>
</sst>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(* #,##0.00_);_(* \(#,##0.00\);_(* &quot;-&quot;??_);_(@_)"/>
  </numFmts>
  <fonts count="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41">
    <xf numFmtId="0" fontId="0" fillId="0" borderId="0" xfId="0"/>
    <xf numFmtId="0" fontId="0" fillId="0" borderId="1" xfId="0" applyBorder="1"/>
    <xf numFmtId="0" fontId="4" fillId="0" borderId="1" xfId="0" applyFont="1" applyBorder="1" applyAlignment="1">
      <alignment horizontal="center"/>
    </xf>
    <xf numFmtId="164" fontId="0" fillId="0" borderId="1" xfId="2" applyFont="1" applyBorder="1"/>
    <xf numFmtId="10" fontId="4" fillId="0" borderId="1" xfId="1" applyNumberFormat="1" applyFont="1" applyBorder="1"/>
    <xf numFmtId="164" fontId="0" fillId="0" borderId="1" xfId="0" applyNumberFormat="1" applyBorder="1"/>
    <xf numFmtId="10" fontId="0" fillId="0" borderId="1" xfId="1" applyNumberFormat="1" applyFont="1" applyBorder="1"/>
    <xf numFmtId="0" fontId="0" fillId="0" borderId="5" xfId="0" applyBorder="1"/>
    <xf numFmtId="0" fontId="0" fillId="0" borderId="6" xfId="0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5" xfId="0" quotePrefix="1" applyBorder="1" applyAlignment="1">
      <alignment horizontal="left"/>
    </xf>
    <xf numFmtId="0" fontId="4" fillId="0" borderId="7" xfId="0" applyFont="1" applyBorder="1"/>
    <xf numFmtId="164" fontId="4" fillId="0" borderId="8" xfId="0" applyNumberFormat="1" applyFont="1" applyBorder="1"/>
    <xf numFmtId="164" fontId="4" fillId="0" borderId="1" xfId="2" applyFont="1" applyBorder="1"/>
    <xf numFmtId="0" fontId="3" fillId="0" borderId="5" xfId="0" quotePrefix="1" applyFont="1" applyBorder="1" applyAlignment="1">
      <alignment horizontal="left"/>
    </xf>
    <xf numFmtId="0" fontId="4" fillId="0" borderId="5" xfId="0" applyFont="1" applyBorder="1"/>
    <xf numFmtId="0" fontId="0" fillId="0" borderId="5" xfId="0" applyBorder="1" applyAlignment="1">
      <alignment horizontal="left"/>
    </xf>
    <xf numFmtId="0" fontId="5" fillId="0" borderId="5" xfId="0" quotePrefix="1" applyFont="1" applyBorder="1" applyAlignment="1">
      <alignment horizontal="left"/>
    </xf>
    <xf numFmtId="0" fontId="4" fillId="0" borderId="10" xfId="0" applyFont="1" applyBorder="1" applyAlignment="1">
      <alignment horizontal="center"/>
    </xf>
    <xf numFmtId="0" fontId="5" fillId="0" borderId="5" xfId="0" applyFont="1" applyBorder="1"/>
    <xf numFmtId="0" fontId="0" fillId="0" borderId="14" xfId="0" quotePrefix="1" applyBorder="1" applyAlignment="1">
      <alignment horizontal="left"/>
    </xf>
    <xf numFmtId="0" fontId="0" fillId="0" borderId="14" xfId="0" applyBorder="1"/>
    <xf numFmtId="0" fontId="5" fillId="0" borderId="14" xfId="0" applyFont="1" applyBorder="1"/>
    <xf numFmtId="0" fontId="4" fillId="0" borderId="15" xfId="0" applyFont="1" applyBorder="1"/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10" fontId="1" fillId="0" borderId="6" xfId="1" applyNumberFormat="1" applyFont="1" applyBorder="1"/>
    <xf numFmtId="10" fontId="0" fillId="0" borderId="6" xfId="1" applyNumberFormat="1" applyFont="1" applyBorder="1"/>
    <xf numFmtId="10" fontId="0" fillId="0" borderId="8" xfId="1" applyNumberFormat="1" applyFont="1" applyBorder="1"/>
    <xf numFmtId="10" fontId="0" fillId="0" borderId="9" xfId="1" applyNumberFormat="1" applyFont="1" applyBorder="1"/>
    <xf numFmtId="44" fontId="0" fillId="0" borderId="1" xfId="3" applyFont="1" applyBorder="1"/>
    <xf numFmtId="44" fontId="4" fillId="0" borderId="1" xfId="3" applyFont="1" applyBorder="1"/>
    <xf numFmtId="44" fontId="4" fillId="0" borderId="1" xfId="3" applyFont="1" applyBorder="1" applyAlignment="1">
      <alignment horizontal="center"/>
    </xf>
    <xf numFmtId="44" fontId="4" fillId="0" borderId="8" xfId="3" applyFont="1" applyBorder="1"/>
    <xf numFmtId="0" fontId="3" fillId="3" borderId="12" xfId="0" quotePrefix="1" applyFont="1" applyFill="1" applyBorder="1" applyAlignment="1">
      <alignment horizontal="center" vertical="center"/>
    </xf>
    <xf numFmtId="0" fontId="3" fillId="3" borderId="13" xfId="0" quotePrefix="1" applyFont="1" applyFill="1" applyBorder="1" applyAlignment="1">
      <alignment horizontal="center" vertical="center"/>
    </xf>
    <xf numFmtId="0" fontId="3" fillId="3" borderId="11" xfId="0" quotePrefix="1" applyFont="1" applyFill="1" applyBorder="1" applyAlignment="1">
      <alignment horizontal="center"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2" borderId="3" xfId="0" quotePrefix="1" applyFont="1" applyFill="1" applyBorder="1" applyAlignment="1">
      <alignment horizontal="center" vertical="center"/>
    </xf>
    <xf numFmtId="0" fontId="3" fillId="2" borderId="4" xfId="0" quotePrefix="1" applyFont="1" applyFill="1" applyBorder="1" applyAlignment="1">
      <alignment horizontal="center" vertical="center"/>
    </xf>
  </cellXfs>
  <cellStyles count="4">
    <cellStyle name="Moeda" xfId="3" builtinId="4"/>
    <cellStyle name="Normal" xfId="0" builtinId="0"/>
    <cellStyle name="Porcentagem" xfId="1" builtinId="5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zoomScaleNormal="100" workbookViewId="0">
      <selection activeCell="K25" sqref="K25"/>
    </sheetView>
  </sheetViews>
  <sheetFormatPr defaultRowHeight="12.75" x14ac:dyDescent="0.2"/>
  <cols>
    <col min="1" max="1" width="22.42578125" customWidth="1"/>
    <col min="2" max="2" width="15.28515625" customWidth="1"/>
    <col min="3" max="3" width="9.140625" customWidth="1"/>
    <col min="4" max="4" width="15.140625" customWidth="1"/>
    <col min="5" max="6" width="9.140625" customWidth="1"/>
    <col min="7" max="7" width="8.28515625" customWidth="1"/>
    <col min="8" max="8" width="23.5703125" customWidth="1"/>
    <col min="9" max="10" width="15.85546875" bestFit="1" customWidth="1"/>
    <col min="12" max="12" width="12.85546875" bestFit="1" customWidth="1"/>
  </cols>
  <sheetData>
    <row r="1" spans="1:14" ht="20.100000000000001" customHeight="1" x14ac:dyDescent="0.2">
      <c r="A1" s="38" t="s">
        <v>12</v>
      </c>
      <c r="B1" s="39"/>
      <c r="C1" s="39"/>
      <c r="D1" s="39"/>
      <c r="E1" s="39"/>
      <c r="F1" s="40"/>
      <c r="H1" s="35" t="s">
        <v>13</v>
      </c>
      <c r="I1" s="36"/>
      <c r="J1" s="36"/>
      <c r="K1" s="36"/>
      <c r="L1" s="36"/>
      <c r="M1" s="36"/>
      <c r="N1" s="37"/>
    </row>
    <row r="2" spans="1:14" ht="18" customHeight="1" x14ac:dyDescent="0.25">
      <c r="A2" s="7"/>
      <c r="B2" s="1"/>
      <c r="C2" s="1"/>
      <c r="D2" s="1"/>
      <c r="E2" s="1"/>
      <c r="F2" s="8"/>
      <c r="H2" s="15"/>
      <c r="I2" s="1"/>
      <c r="J2" s="1"/>
      <c r="K2" s="1"/>
      <c r="L2" s="1"/>
      <c r="M2" s="1"/>
      <c r="N2" s="8"/>
    </row>
    <row r="3" spans="1:14" ht="18" customHeight="1" x14ac:dyDescent="0.2">
      <c r="A3" s="9" t="s">
        <v>11</v>
      </c>
      <c r="B3" s="25">
        <v>2019</v>
      </c>
      <c r="C3" s="25" t="s">
        <v>37</v>
      </c>
      <c r="D3" s="25">
        <v>2020</v>
      </c>
      <c r="E3" s="25" t="s">
        <v>37</v>
      </c>
      <c r="F3" s="26" t="s">
        <v>39</v>
      </c>
      <c r="H3" s="16" t="s">
        <v>14</v>
      </c>
      <c r="I3" s="2">
        <v>2018</v>
      </c>
      <c r="J3" s="2">
        <v>2019</v>
      </c>
      <c r="K3" s="2" t="s">
        <v>37</v>
      </c>
      <c r="L3" s="2">
        <v>2020</v>
      </c>
      <c r="M3" s="2" t="s">
        <v>37</v>
      </c>
      <c r="N3" s="19" t="s">
        <v>39</v>
      </c>
    </row>
    <row r="4" spans="1:14" ht="18" customHeight="1" x14ac:dyDescent="0.2">
      <c r="A4" s="21" t="s">
        <v>0</v>
      </c>
      <c r="B4" s="3">
        <v>5500000</v>
      </c>
      <c r="C4" s="4">
        <f>B4/B4</f>
        <v>1</v>
      </c>
      <c r="D4" s="3">
        <v>7200000</v>
      </c>
      <c r="E4" s="4">
        <f>D4/$D$4</f>
        <v>1</v>
      </c>
      <c r="F4" s="27">
        <f>D4/B4-1</f>
        <v>0.30909090909090908</v>
      </c>
      <c r="H4" s="7" t="s">
        <v>15</v>
      </c>
      <c r="I4" s="31">
        <v>85000</v>
      </c>
      <c r="J4" s="31">
        <f>I4*1.175</f>
        <v>99875</v>
      </c>
      <c r="K4" s="6"/>
      <c r="L4" s="5"/>
      <c r="M4" s="6"/>
      <c r="N4" s="28"/>
    </row>
    <row r="5" spans="1:14" ht="18" customHeight="1" x14ac:dyDescent="0.2">
      <c r="A5" s="22" t="s">
        <v>1</v>
      </c>
      <c r="B5" s="5">
        <f>B4*0.7</f>
        <v>3849999.9999999995</v>
      </c>
      <c r="C5" s="6">
        <f>B5/$B$4</f>
        <v>0.7</v>
      </c>
      <c r="D5" s="5">
        <f>D4*0.675</f>
        <v>4860000</v>
      </c>
      <c r="E5" s="4">
        <f t="shared" ref="E5:E17" si="0">D5/$D$4</f>
        <v>0.67500000000000004</v>
      </c>
      <c r="F5" s="27">
        <f t="shared" ref="F5:F17" si="1">D5/B5-1</f>
        <v>0.26233766233766254</v>
      </c>
      <c r="H5" s="7" t="s">
        <v>16</v>
      </c>
      <c r="I5" s="31">
        <v>127000</v>
      </c>
      <c r="J5" s="31">
        <f>I5*0.98</f>
        <v>124460</v>
      </c>
      <c r="K5" s="6"/>
      <c r="L5" s="5"/>
      <c r="M5" s="6"/>
      <c r="N5" s="28"/>
    </row>
    <row r="6" spans="1:14" ht="18" customHeight="1" x14ac:dyDescent="0.2">
      <c r="A6" s="23" t="s">
        <v>2</v>
      </c>
      <c r="B6" s="5">
        <f>B4-B5</f>
        <v>1650000.0000000005</v>
      </c>
      <c r="C6" s="6">
        <f t="shared" ref="C6:C17" si="2">B6/$B$4</f>
        <v>0.3000000000000001</v>
      </c>
      <c r="D6" s="5">
        <f>D4-D5</f>
        <v>2340000</v>
      </c>
      <c r="E6" s="4">
        <f t="shared" si="0"/>
        <v>0.32500000000000001</v>
      </c>
      <c r="F6" s="27">
        <f t="shared" si="1"/>
        <v>0.41818181818181777</v>
      </c>
      <c r="H6" s="7" t="s">
        <v>17</v>
      </c>
      <c r="I6" s="31">
        <v>93000</v>
      </c>
      <c r="J6" s="31">
        <f>B4*0.038</f>
        <v>209000</v>
      </c>
      <c r="K6" s="6"/>
      <c r="L6" s="5"/>
      <c r="M6" s="6"/>
      <c r="N6" s="28"/>
    </row>
    <row r="7" spans="1:14" ht="18" customHeight="1" x14ac:dyDescent="0.2">
      <c r="A7" s="21" t="s">
        <v>35</v>
      </c>
      <c r="B7" s="5">
        <f>B4*0.143</f>
        <v>786499.99999999988</v>
      </c>
      <c r="C7" s="6">
        <f t="shared" si="2"/>
        <v>0.14299999999999999</v>
      </c>
      <c r="D7" s="5">
        <f>D4*0.145</f>
        <v>1043999.9999999999</v>
      </c>
      <c r="E7" s="4">
        <f t="shared" si="0"/>
        <v>0.14499999999999999</v>
      </c>
      <c r="F7" s="27">
        <f t="shared" si="1"/>
        <v>0.32739987285441829</v>
      </c>
      <c r="H7" s="7" t="s">
        <v>18</v>
      </c>
      <c r="I7" s="31">
        <v>120000</v>
      </c>
      <c r="J7" s="31">
        <v>185000</v>
      </c>
      <c r="K7" s="6"/>
      <c r="L7" s="5"/>
      <c r="M7" s="6"/>
      <c r="N7" s="28"/>
    </row>
    <row r="8" spans="1:14" ht="18" customHeight="1" x14ac:dyDescent="0.2">
      <c r="A8" s="21" t="s">
        <v>34</v>
      </c>
      <c r="B8" s="5">
        <f>B4*0.041</f>
        <v>225500</v>
      </c>
      <c r="C8" s="6">
        <f t="shared" si="2"/>
        <v>4.1000000000000002E-2</v>
      </c>
      <c r="D8" s="5">
        <f>D4*0.038</f>
        <v>273600</v>
      </c>
      <c r="E8" s="4">
        <f t="shared" si="0"/>
        <v>3.7999999999999999E-2</v>
      </c>
      <c r="F8" s="27">
        <f t="shared" si="1"/>
        <v>0.21330376940133045</v>
      </c>
      <c r="H8" s="20" t="s">
        <v>19</v>
      </c>
      <c r="I8" s="31">
        <v>425000</v>
      </c>
      <c r="J8" s="31">
        <v>18835</v>
      </c>
      <c r="K8" s="6"/>
      <c r="L8" s="3"/>
      <c r="M8" s="6"/>
      <c r="N8" s="28"/>
    </row>
    <row r="9" spans="1:14" ht="18" customHeight="1" x14ac:dyDescent="0.2">
      <c r="A9" s="21" t="s">
        <v>36</v>
      </c>
      <c r="B9" s="5">
        <v>67500</v>
      </c>
      <c r="C9" s="6">
        <f t="shared" si="2"/>
        <v>1.2272727272727272E-2</v>
      </c>
      <c r="D9" s="5">
        <v>82000</v>
      </c>
      <c r="E9" s="4">
        <f t="shared" si="0"/>
        <v>1.1388888888888889E-2</v>
      </c>
      <c r="F9" s="27">
        <f t="shared" si="1"/>
        <v>0.21481481481481479</v>
      </c>
      <c r="H9" s="7" t="s">
        <v>20</v>
      </c>
      <c r="I9" s="31">
        <v>850000</v>
      </c>
      <c r="J9" s="31">
        <f>I9+33000</f>
        <v>883000</v>
      </c>
      <c r="K9" s="6"/>
      <c r="L9" s="5"/>
      <c r="M9" s="6"/>
      <c r="N9" s="28"/>
    </row>
    <row r="10" spans="1:14" ht="18" customHeight="1" x14ac:dyDescent="0.2">
      <c r="A10" s="22" t="s">
        <v>3</v>
      </c>
      <c r="B10" s="5">
        <v>27000</v>
      </c>
      <c r="C10" s="6">
        <f t="shared" si="2"/>
        <v>4.909090909090909E-3</v>
      </c>
      <c r="D10" s="5">
        <v>35000</v>
      </c>
      <c r="E10" s="4">
        <f t="shared" si="0"/>
        <v>4.8611111111111112E-3</v>
      </c>
      <c r="F10" s="27">
        <f t="shared" si="1"/>
        <v>0.29629629629629628</v>
      </c>
      <c r="H10" s="7" t="s">
        <v>21</v>
      </c>
      <c r="I10" s="31">
        <v>100000</v>
      </c>
      <c r="J10" s="31">
        <v>127000</v>
      </c>
      <c r="K10" s="6"/>
      <c r="L10" s="5"/>
      <c r="M10" s="6"/>
      <c r="N10" s="28"/>
    </row>
    <row r="11" spans="1:14" ht="18" customHeight="1" x14ac:dyDescent="0.2">
      <c r="A11" s="23" t="s">
        <v>4</v>
      </c>
      <c r="B11" s="5">
        <f>B6-B7-B8-B9-B10</f>
        <v>543500.00000000058</v>
      </c>
      <c r="C11" s="6">
        <f t="shared" si="2"/>
        <v>9.881818181818193E-2</v>
      </c>
      <c r="D11" s="5">
        <f>D6-D7-D8-D9-D10</f>
        <v>905400</v>
      </c>
      <c r="E11" s="4">
        <f t="shared" si="0"/>
        <v>0.12575</v>
      </c>
      <c r="F11" s="27">
        <f t="shared" si="1"/>
        <v>0.66586936522538931</v>
      </c>
      <c r="H11" s="18" t="s">
        <v>22</v>
      </c>
      <c r="I11" s="31">
        <f>I9-I10</f>
        <v>750000</v>
      </c>
      <c r="J11" s="31">
        <f>J9-J10</f>
        <v>756000</v>
      </c>
      <c r="K11" s="6"/>
      <c r="L11" s="3"/>
      <c r="M11" s="6"/>
      <c r="N11" s="28"/>
    </row>
    <row r="12" spans="1:14" ht="18" customHeight="1" x14ac:dyDescent="0.2">
      <c r="A12" s="22" t="s">
        <v>5</v>
      </c>
      <c r="B12" s="5">
        <f>I17*0.07+I20*0.055</f>
        <v>21235</v>
      </c>
      <c r="C12" s="6">
        <f t="shared" si="2"/>
        <v>3.8609090909090911E-3</v>
      </c>
      <c r="D12" s="5">
        <v>45000</v>
      </c>
      <c r="E12" s="4">
        <f t="shared" si="0"/>
        <v>6.2500000000000003E-3</v>
      </c>
      <c r="F12" s="27">
        <f t="shared" si="1"/>
        <v>1.1191429244172357</v>
      </c>
      <c r="H12" s="16" t="s">
        <v>23</v>
      </c>
      <c r="I12" s="32">
        <f>I8+I11</f>
        <v>1175000</v>
      </c>
      <c r="J12" s="32">
        <v>1374835</v>
      </c>
      <c r="K12" s="6"/>
      <c r="L12" s="14"/>
      <c r="M12" s="6"/>
      <c r="N12" s="28"/>
    </row>
    <row r="13" spans="1:14" ht="18" customHeight="1" x14ac:dyDescent="0.2">
      <c r="A13" s="23" t="s">
        <v>6</v>
      </c>
      <c r="B13" s="5">
        <f>B11-B12</f>
        <v>522265.00000000058</v>
      </c>
      <c r="C13" s="6">
        <f t="shared" si="2"/>
        <v>9.4957272727272835E-2</v>
      </c>
      <c r="D13" s="5">
        <f>D11-D12</f>
        <v>860400</v>
      </c>
      <c r="E13" s="4">
        <f t="shared" si="0"/>
        <v>0.1195</v>
      </c>
      <c r="F13" s="27">
        <f t="shared" si="1"/>
        <v>0.64743951825222634</v>
      </c>
      <c r="H13" s="7"/>
      <c r="I13" s="31"/>
      <c r="J13" s="31"/>
      <c r="K13" s="1"/>
      <c r="L13" s="1"/>
      <c r="M13" s="1"/>
      <c r="N13" s="28"/>
    </row>
    <row r="14" spans="1:14" ht="18" customHeight="1" x14ac:dyDescent="0.2">
      <c r="A14" s="22" t="s">
        <v>7</v>
      </c>
      <c r="B14" s="5">
        <f>B13*0.32</f>
        <v>167124.80000000019</v>
      </c>
      <c r="C14" s="6">
        <f t="shared" si="2"/>
        <v>3.0386327272727307E-2</v>
      </c>
      <c r="D14" s="5">
        <f>D13*0.33</f>
        <v>283932</v>
      </c>
      <c r="E14" s="4">
        <f t="shared" si="0"/>
        <v>3.9434999999999998E-2</v>
      </c>
      <c r="F14" s="27">
        <f t="shared" si="1"/>
        <v>0.69892200319760844</v>
      </c>
      <c r="H14" s="16" t="s">
        <v>24</v>
      </c>
      <c r="I14" s="33"/>
      <c r="J14" s="33"/>
      <c r="K14" s="2"/>
      <c r="L14" s="2"/>
      <c r="M14" s="2"/>
      <c r="N14" s="10"/>
    </row>
    <row r="15" spans="1:14" ht="18" customHeight="1" x14ac:dyDescent="0.2">
      <c r="A15" s="23" t="s">
        <v>8</v>
      </c>
      <c r="B15" s="5">
        <f>B13-B14</f>
        <v>355140.20000000042</v>
      </c>
      <c r="C15" s="6">
        <f t="shared" si="2"/>
        <v>6.4570945454545531E-2</v>
      </c>
      <c r="D15" s="5">
        <f>D13-D14</f>
        <v>576468</v>
      </c>
      <c r="E15" s="4">
        <f t="shared" si="0"/>
        <v>8.0064999999999997E-2</v>
      </c>
      <c r="F15" s="27">
        <f t="shared" si="1"/>
        <v>0.62321246651322304</v>
      </c>
      <c r="H15" s="7" t="s">
        <v>25</v>
      </c>
      <c r="I15" s="31">
        <v>88000</v>
      </c>
      <c r="J15" s="31">
        <f>B4*0.035</f>
        <v>192500.00000000003</v>
      </c>
      <c r="K15" s="6"/>
      <c r="L15" s="5"/>
      <c r="M15" s="6"/>
      <c r="N15" s="28"/>
    </row>
    <row r="16" spans="1:14" ht="18" customHeight="1" x14ac:dyDescent="0.2">
      <c r="A16" s="22" t="s">
        <v>9</v>
      </c>
      <c r="B16" s="5">
        <v>250000.2</v>
      </c>
      <c r="C16" s="6">
        <f t="shared" si="2"/>
        <v>4.5454581818181822E-2</v>
      </c>
      <c r="D16" s="5">
        <v>326468</v>
      </c>
      <c r="E16" s="4">
        <f t="shared" si="0"/>
        <v>4.534277777777778E-2</v>
      </c>
      <c r="F16" s="27">
        <f t="shared" si="1"/>
        <v>0.30587095530323571</v>
      </c>
      <c r="H16" s="11" t="s">
        <v>38</v>
      </c>
      <c r="I16" s="31">
        <v>75000</v>
      </c>
      <c r="J16" s="31">
        <f>I16*1.065</f>
        <v>79875</v>
      </c>
      <c r="K16" s="6"/>
      <c r="L16" s="5"/>
      <c r="M16" s="6"/>
      <c r="N16" s="28"/>
    </row>
    <row r="17" spans="1:14" ht="18" customHeight="1" thickBot="1" x14ac:dyDescent="0.25">
      <c r="A17" s="24" t="s">
        <v>10</v>
      </c>
      <c r="B17" s="13">
        <f>B15-B16</f>
        <v>105140.00000000041</v>
      </c>
      <c r="C17" s="6">
        <f t="shared" si="2"/>
        <v>1.9116363636363709E-2</v>
      </c>
      <c r="D17" s="13">
        <f>D15-D16</f>
        <v>250000</v>
      </c>
      <c r="E17" s="4">
        <f t="shared" si="0"/>
        <v>3.4722222222222224E-2</v>
      </c>
      <c r="F17" s="27">
        <f t="shared" si="1"/>
        <v>1.3777820049457774</v>
      </c>
      <c r="H17" s="7" t="s">
        <v>26</v>
      </c>
      <c r="I17" s="31">
        <v>103000</v>
      </c>
      <c r="J17" s="31">
        <f>I17*0.97</f>
        <v>99910</v>
      </c>
      <c r="K17" s="6"/>
      <c r="L17" s="5"/>
      <c r="M17" s="6"/>
      <c r="N17" s="28"/>
    </row>
    <row r="18" spans="1:14" ht="18" customHeight="1" x14ac:dyDescent="0.2">
      <c r="H18" s="20" t="s">
        <v>27</v>
      </c>
      <c r="I18" s="31">
        <f>I17+I16+I15</f>
        <v>266000</v>
      </c>
      <c r="J18" s="31">
        <f>J17+J16+J15</f>
        <v>372285</v>
      </c>
      <c r="K18" s="6"/>
      <c r="L18" s="5"/>
      <c r="M18" s="6"/>
      <c r="N18" s="28"/>
    </row>
    <row r="19" spans="1:14" ht="18" customHeight="1" x14ac:dyDescent="0.2">
      <c r="H19" s="18" t="s">
        <v>29</v>
      </c>
      <c r="J19" s="31"/>
      <c r="K19" s="6"/>
      <c r="L19" s="5"/>
      <c r="M19" s="1"/>
      <c r="N19" s="28"/>
    </row>
    <row r="20" spans="1:14" ht="18" customHeight="1" x14ac:dyDescent="0.2">
      <c r="H20" s="7" t="s">
        <v>28</v>
      </c>
      <c r="I20" s="31">
        <v>255000</v>
      </c>
      <c r="J20" s="31">
        <v>243410</v>
      </c>
      <c r="K20" s="6"/>
      <c r="L20" s="5"/>
      <c r="M20" s="6"/>
      <c r="N20" s="28"/>
    </row>
    <row r="21" spans="1:14" ht="18" customHeight="1" x14ac:dyDescent="0.2">
      <c r="H21" s="18" t="s">
        <v>30</v>
      </c>
      <c r="I21" s="31"/>
      <c r="J21" s="31"/>
      <c r="K21" s="6"/>
      <c r="L21" s="5"/>
      <c r="M21" s="1"/>
      <c r="N21" s="28"/>
    </row>
    <row r="22" spans="1:14" ht="18" customHeight="1" x14ac:dyDescent="0.2">
      <c r="H22" s="7" t="s">
        <v>31</v>
      </c>
      <c r="I22" s="31">
        <v>559000</v>
      </c>
      <c r="J22" s="31">
        <f>I22</f>
        <v>559000</v>
      </c>
      <c r="K22" s="6"/>
      <c r="L22" s="3"/>
      <c r="M22" s="6"/>
      <c r="N22" s="28"/>
    </row>
    <row r="23" spans="1:14" ht="18" customHeight="1" x14ac:dyDescent="0.2">
      <c r="H23" s="17" t="s">
        <v>32</v>
      </c>
      <c r="I23" s="31">
        <v>95000</v>
      </c>
      <c r="J23" s="31">
        <f>I23+B17</f>
        <v>200140.00000000041</v>
      </c>
      <c r="K23" s="6"/>
      <c r="L23" s="5"/>
      <c r="M23" s="6"/>
      <c r="N23" s="28"/>
    </row>
    <row r="24" spans="1:14" ht="18" customHeight="1" x14ac:dyDescent="0.2">
      <c r="H24" s="20" t="s">
        <v>33</v>
      </c>
      <c r="I24" s="31">
        <f>I22+I23</f>
        <v>654000</v>
      </c>
      <c r="J24" s="31">
        <f>J22+J23</f>
        <v>759140.00000000047</v>
      </c>
      <c r="K24" s="6"/>
      <c r="L24" s="3"/>
      <c r="M24" s="6"/>
      <c r="N24" s="28"/>
    </row>
    <row r="25" spans="1:14" ht="18" customHeight="1" thickBot="1" x14ac:dyDescent="0.25">
      <c r="H25" s="12" t="s">
        <v>40</v>
      </c>
      <c r="I25" s="34">
        <f>I18+I20+I24</f>
        <v>1175000</v>
      </c>
      <c r="J25" s="34">
        <f>J18+J20+J24</f>
        <v>1374835.0000000005</v>
      </c>
      <c r="K25" s="29"/>
      <c r="L25" s="13"/>
      <c r="M25" s="29"/>
      <c r="N25" s="30"/>
    </row>
    <row r="26" spans="1:14" ht="18" customHeight="1" x14ac:dyDescent="0.2"/>
  </sheetData>
  <mergeCells count="2">
    <mergeCell ref="A1:F1"/>
    <mergeCell ref="H1:N1"/>
  </mergeCells>
  <phoneticPr fontId="2" type="noConversion"/>
  <printOptions gridLines="1"/>
  <pageMargins left="0.78740157480314965" right="0.78740157480314965" top="1.1811023622047245" bottom="0.98425196850393704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</dc:creator>
  <cp:lastModifiedBy>Aluno SENAI</cp:lastModifiedBy>
  <cp:lastPrinted>2011-06-15T11:22:48Z</cp:lastPrinted>
  <dcterms:created xsi:type="dcterms:W3CDTF">2011-05-26T17:23:28Z</dcterms:created>
  <dcterms:modified xsi:type="dcterms:W3CDTF">2026-05-18T19:30:03Z</dcterms:modified>
</cp:coreProperties>
</file>